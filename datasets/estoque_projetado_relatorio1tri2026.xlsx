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<sst xmlns="http://schemas.openxmlformats.org/spreadsheetml/2006/main" count="96" uniqueCount="23">
  <si>
    <t xml:space="preserve">mês_nome</t>
  </si>
  <si>
    <t xml:space="preserve">descricao_prod</t>
  </si>
  <si>
    <t xml:space="preserve">projeção_mensal_saída</t>
  </si>
  <si>
    <t xml:space="preserve">Saldo_Estoque</t>
  </si>
  <si>
    <t xml:space="preserve">Estoque_Proj_Final_Mes</t>
  </si>
  <si>
    <t xml:space="preserve">Dezembro</t>
  </si>
  <si>
    <t xml:space="preserve">Petisco Natural Sabor Cordeiro - 80g</t>
  </si>
  <si>
    <t xml:space="preserve">Petisco Natural Sabor Frango com Batata Doce - 100g</t>
  </si>
  <si>
    <t xml:space="preserve">Petisco Natural Sabor Tilápia - 80g</t>
  </si>
  <si>
    <t xml:space="preserve">Petí BSF é Calm - Petisco Natural</t>
  </si>
  <si>
    <t xml:space="preserve">Petí Mini - Petisco Natural Sabor Cordeiro - 20g</t>
  </si>
  <si>
    <t xml:space="preserve">Petí Mini - Petisco Natural Sabor Frango com Batata Doce - 20g</t>
  </si>
  <si>
    <t xml:space="preserve">Petí Mini - Petisco Natural Sabor Steak Prime - 20g</t>
  </si>
  <si>
    <t xml:space="preserve">Petí Mini - Petisco Natural Sabor Tilápia - 20g</t>
  </si>
  <si>
    <t xml:space="preserve">Petí Stick - Mordedor de madeira de café (20cm)</t>
  </si>
  <si>
    <t xml:space="preserve">Suplemento Peti Granola 130g</t>
  </si>
  <si>
    <t xml:space="preserve">Suplemento Peti Topper Calm 100g</t>
  </si>
  <si>
    <t xml:space="preserve">Petí Tronquinho - Mordedor de madeira de café (25cm)</t>
  </si>
  <si>
    <t xml:space="preserve">Janeiro</t>
  </si>
  <si>
    <t xml:space="preserve">Petisco Natural Sabor Steak Prime - 100g</t>
  </si>
  <si>
    <t xml:space="preserve">Fevereiro</t>
  </si>
  <si>
    <t xml:space="preserve">Saídas Totais</t>
  </si>
  <si>
    <t xml:space="preserve">Saldo Projetado Final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</si>
</sst>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BF00"/>
        <bgColor rgb="FFFFD428"/>
      </patternFill>
    </fill>
    <fill>
      <patternFill patternType="solid">
        <fgColor rgb="FFFFFF00"/>
        <bgColor rgb="FFFFD428"/>
      </patternFill>
    </fill>
    <fill>
      <patternFill patternType="solid">
        <fgColor rgb="FFFFD428"/>
        <bgColor rgb="FFFFB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D42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4" activeCellId="0" sqref="B5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59.87"/>
    <col collapsed="false" customWidth="true" hidden="false" outlineLevel="0" max="3" min="3" style="1" width="23.38"/>
    <col collapsed="false" customWidth="true" hidden="false" outlineLevel="0" max="4" min="4" style="1" width="19.26"/>
    <col collapsed="false" customWidth="true" hidden="false" outlineLevel="0" max="5" min="5" style="0" width="28.99"/>
    <col collapsed="false" customWidth="true" hidden="false" outlineLevel="0" max="9" min="9" style="1" width="13.6"/>
    <col collapsed="false" customWidth="true" hidden="false" outlineLevel="0" max="10" min="10" style="1" width="54.83"/>
    <col collapsed="false" customWidth="true" hidden="false" outlineLevel="0" max="11" min="11" style="1" width="21.48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n">
        <v>95</v>
      </c>
      <c r="D2" s="4" t="n">
        <v>563</v>
      </c>
      <c r="E2" s="4" t="n">
        <f aca="false">D2-C2</f>
        <v>468</v>
      </c>
    </row>
    <row r="3" customFormat="false" ht="15" hidden="false" customHeight="false" outlineLevel="0" collapsed="false">
      <c r="A3" s="3" t="s">
        <v>5</v>
      </c>
      <c r="B3" s="3" t="s">
        <v>7</v>
      </c>
      <c r="C3" s="3" t="n">
        <v>91</v>
      </c>
      <c r="D3" s="4" t="n">
        <v>482</v>
      </c>
      <c r="E3" s="4" t="n">
        <f aca="false">D3-C3</f>
        <v>391</v>
      </c>
    </row>
    <row r="4" customFormat="false" ht="15" hidden="false" customHeight="false" outlineLevel="0" collapsed="false">
      <c r="A4" s="3" t="s">
        <v>5</v>
      </c>
      <c r="B4" s="3" t="s">
        <v>8</v>
      </c>
      <c r="C4" s="3" t="n">
        <v>83</v>
      </c>
      <c r="D4" s="4" t="n">
        <v>476</v>
      </c>
      <c r="E4" s="4" t="n">
        <f aca="false">D4-C4</f>
        <v>393</v>
      </c>
    </row>
    <row r="5" customFormat="false" ht="15" hidden="false" customHeight="false" outlineLevel="0" collapsed="false">
      <c r="A5" s="3" t="s">
        <v>5</v>
      </c>
      <c r="B5" s="3" t="s">
        <v>9</v>
      </c>
      <c r="C5" s="3" t="n">
        <v>258</v>
      </c>
      <c r="D5" s="4" t="n">
        <v>1758</v>
      </c>
      <c r="E5" s="4" t="n">
        <f aca="false">D5-C5</f>
        <v>1500</v>
      </c>
    </row>
    <row r="6" customFormat="false" ht="15" hidden="false" customHeight="false" outlineLevel="0" collapsed="false">
      <c r="A6" s="3" t="s">
        <v>5</v>
      </c>
      <c r="B6" s="3" t="s">
        <v>10</v>
      </c>
      <c r="C6" s="3" t="n">
        <v>18</v>
      </c>
      <c r="D6" s="4" t="n">
        <v>554</v>
      </c>
      <c r="E6" s="4" t="n">
        <f aca="false">D6-C6</f>
        <v>536</v>
      </c>
    </row>
    <row r="7" customFormat="false" ht="15" hidden="false" customHeight="false" outlineLevel="0" collapsed="false">
      <c r="A7" s="3" t="s">
        <v>5</v>
      </c>
      <c r="B7" s="3" t="s">
        <v>11</v>
      </c>
      <c r="C7" s="3" t="n">
        <v>18</v>
      </c>
      <c r="D7" s="4" t="n">
        <v>582</v>
      </c>
      <c r="E7" s="4" t="n">
        <f aca="false">D7-C7</f>
        <v>564</v>
      </c>
    </row>
    <row r="8" customFormat="false" ht="15" hidden="false" customHeight="false" outlineLevel="0" collapsed="false">
      <c r="A8" s="3" t="s">
        <v>5</v>
      </c>
      <c r="B8" s="3" t="s">
        <v>12</v>
      </c>
      <c r="C8" s="3" t="n">
        <v>21</v>
      </c>
      <c r="D8" s="4" t="n">
        <v>562</v>
      </c>
      <c r="E8" s="4" t="n">
        <f aca="false">D8-C8</f>
        <v>541</v>
      </c>
    </row>
    <row r="9" customFormat="false" ht="15" hidden="false" customHeight="false" outlineLevel="0" collapsed="false">
      <c r="A9" s="3" t="s">
        <v>5</v>
      </c>
      <c r="B9" s="3" t="s">
        <v>13</v>
      </c>
      <c r="C9" s="3" t="n">
        <v>12</v>
      </c>
      <c r="D9" s="4" t="n">
        <v>532</v>
      </c>
      <c r="E9" s="4" t="n">
        <f aca="false">D9-C9</f>
        <v>520</v>
      </c>
    </row>
    <row r="10" customFormat="false" ht="15" hidden="false" customHeight="false" outlineLevel="0" collapsed="false">
      <c r="A10" s="3" t="s">
        <v>5</v>
      </c>
      <c r="B10" s="3" t="s">
        <v>14</v>
      </c>
      <c r="C10" s="3" t="n">
        <v>83</v>
      </c>
      <c r="D10" s="4" t="n">
        <v>324</v>
      </c>
      <c r="E10" s="4" t="n">
        <f aca="false">D10-C10</f>
        <v>241</v>
      </c>
    </row>
    <row r="11" customFormat="false" ht="15" hidden="false" customHeight="false" outlineLevel="0" collapsed="false">
      <c r="A11" s="3" t="s">
        <v>5</v>
      </c>
      <c r="B11" s="3" t="s">
        <v>15</v>
      </c>
      <c r="C11" s="3" t="n">
        <v>107</v>
      </c>
      <c r="D11" s="4" t="n">
        <v>271</v>
      </c>
      <c r="E11" s="4" t="n">
        <f aca="false">D11-C11</f>
        <v>164</v>
      </c>
    </row>
    <row r="12" customFormat="false" ht="16.4" hidden="false" customHeight="false" outlineLevel="0" collapsed="false">
      <c r="A12" s="3" t="s">
        <v>5</v>
      </c>
      <c r="B12" s="5" t="s">
        <v>16</v>
      </c>
      <c r="C12" s="3" t="n">
        <v>114</v>
      </c>
      <c r="D12" s="4" t="n">
        <v>256</v>
      </c>
      <c r="E12" s="4" t="n">
        <f aca="false">D12-C12</f>
        <v>142</v>
      </c>
    </row>
    <row r="13" customFormat="false" ht="15" hidden="false" customHeight="false" outlineLevel="0" collapsed="false">
      <c r="A13" s="3" t="s">
        <v>5</v>
      </c>
      <c r="B13" s="3" t="s">
        <v>17</v>
      </c>
      <c r="C13" s="3" t="n">
        <v>55</v>
      </c>
      <c r="D13" s="4" t="n">
        <v>209</v>
      </c>
      <c r="E13" s="4" t="n">
        <f aca="false">D13-C13</f>
        <v>154</v>
      </c>
    </row>
    <row r="14" customFormat="false" ht="15" hidden="false" customHeight="false" outlineLevel="0" collapsed="false">
      <c r="A14" s="6" t="s">
        <v>18</v>
      </c>
      <c r="B14" s="6" t="s">
        <v>6</v>
      </c>
      <c r="C14" s="6" t="n">
        <v>46</v>
      </c>
      <c r="D14" s="7" t="n">
        <f aca="false">D2-C2</f>
        <v>468</v>
      </c>
      <c r="E14" s="7" t="n">
        <f aca="false">D14-C14</f>
        <v>422</v>
      </c>
    </row>
    <row r="15" customFormat="false" ht="15" hidden="false" customHeight="false" outlineLevel="0" collapsed="false">
      <c r="A15" s="6" t="s">
        <v>18</v>
      </c>
      <c r="B15" s="6" t="s">
        <v>7</v>
      </c>
      <c r="C15" s="6" t="n">
        <v>110</v>
      </c>
      <c r="D15" s="7" t="n">
        <f aca="false">D3-C3</f>
        <v>391</v>
      </c>
      <c r="E15" s="7" t="n">
        <f aca="false">D15-C15</f>
        <v>281</v>
      </c>
    </row>
    <row r="16" customFormat="false" ht="15" hidden="false" customHeight="false" outlineLevel="0" collapsed="false">
      <c r="A16" s="6" t="s">
        <v>18</v>
      </c>
      <c r="B16" s="6" t="s">
        <v>19</v>
      </c>
      <c r="C16" s="6" t="n">
        <v>50</v>
      </c>
      <c r="D16" s="7" t="n">
        <f aca="false">D8-C8</f>
        <v>541</v>
      </c>
      <c r="E16" s="7" t="n">
        <f aca="false">D16-C16</f>
        <v>491</v>
      </c>
    </row>
    <row r="17" customFormat="false" ht="15" hidden="false" customHeight="false" outlineLevel="0" collapsed="false">
      <c r="A17" s="6" t="s">
        <v>18</v>
      </c>
      <c r="B17" s="6" t="s">
        <v>8</v>
      </c>
      <c r="C17" s="6" t="n">
        <v>43</v>
      </c>
      <c r="D17" s="7" t="n">
        <f aca="false">D4-C4</f>
        <v>393</v>
      </c>
      <c r="E17" s="7" t="n">
        <f aca="false">D17-C17</f>
        <v>350</v>
      </c>
    </row>
    <row r="18" customFormat="false" ht="15" hidden="false" customHeight="false" outlineLevel="0" collapsed="false">
      <c r="A18" s="6" t="s">
        <v>18</v>
      </c>
      <c r="B18" s="6" t="s">
        <v>9</v>
      </c>
      <c r="C18" s="6" t="n">
        <v>60</v>
      </c>
      <c r="D18" s="7" t="n">
        <f aca="false">D5-C5</f>
        <v>1500</v>
      </c>
      <c r="E18" s="7" t="n">
        <f aca="false">D18-C18</f>
        <v>1440</v>
      </c>
    </row>
    <row r="19" customFormat="false" ht="15" hidden="false" customHeight="false" outlineLevel="0" collapsed="false">
      <c r="A19" s="6" t="s">
        <v>18</v>
      </c>
      <c r="B19" s="6" t="s">
        <v>10</v>
      </c>
      <c r="C19" s="6" t="n">
        <v>108</v>
      </c>
      <c r="D19" s="7" t="n">
        <f aca="false">D6-C6</f>
        <v>536</v>
      </c>
      <c r="E19" s="7" t="n">
        <f aca="false">D19-C19</f>
        <v>428</v>
      </c>
    </row>
    <row r="20" customFormat="false" ht="15" hidden="false" customHeight="false" outlineLevel="0" collapsed="false">
      <c r="A20" s="6" t="s">
        <v>18</v>
      </c>
      <c r="B20" s="6" t="s">
        <v>11</v>
      </c>
      <c r="C20" s="6" t="n">
        <v>15</v>
      </c>
      <c r="D20" s="7" t="n">
        <f aca="false">D7-C7</f>
        <v>564</v>
      </c>
      <c r="E20" s="7" t="n">
        <f aca="false">D20-C20</f>
        <v>549</v>
      </c>
    </row>
    <row r="21" customFormat="false" ht="15" hidden="false" customHeight="false" outlineLevel="0" collapsed="false">
      <c r="A21" s="6" t="s">
        <v>18</v>
      </c>
      <c r="B21" s="6" t="s">
        <v>12</v>
      </c>
      <c r="C21" s="6" t="n">
        <v>14</v>
      </c>
      <c r="D21" s="7" t="n">
        <f aca="false">D8-C8</f>
        <v>541</v>
      </c>
      <c r="E21" s="7" t="n">
        <f aca="false">D21-C21</f>
        <v>527</v>
      </c>
    </row>
    <row r="22" customFormat="false" ht="15" hidden="false" customHeight="false" outlineLevel="0" collapsed="false">
      <c r="A22" s="6" t="s">
        <v>18</v>
      </c>
      <c r="B22" s="6" t="s">
        <v>13</v>
      </c>
      <c r="C22" s="6" t="n">
        <v>109</v>
      </c>
      <c r="D22" s="7" t="n">
        <f aca="false">D9-C9</f>
        <v>520</v>
      </c>
      <c r="E22" s="7" t="n">
        <f aca="false">D22-C22</f>
        <v>411</v>
      </c>
    </row>
    <row r="23" customFormat="false" ht="15" hidden="false" customHeight="false" outlineLevel="0" collapsed="false">
      <c r="A23" s="6" t="s">
        <v>18</v>
      </c>
      <c r="B23" s="6" t="s">
        <v>14</v>
      </c>
      <c r="C23" s="6" t="n">
        <v>93</v>
      </c>
      <c r="D23" s="7" t="n">
        <f aca="false">D10-C10</f>
        <v>241</v>
      </c>
      <c r="E23" s="7" t="n">
        <f aca="false">D23-C23</f>
        <v>148</v>
      </c>
    </row>
    <row r="24" customFormat="false" ht="15" hidden="false" customHeight="false" outlineLevel="0" collapsed="false">
      <c r="A24" s="6" t="s">
        <v>18</v>
      </c>
      <c r="B24" s="6" t="s">
        <v>15</v>
      </c>
      <c r="C24" s="6" t="n">
        <v>107</v>
      </c>
      <c r="D24" s="7" t="n">
        <f aca="false">D11-C11</f>
        <v>164</v>
      </c>
      <c r="E24" s="7" t="n">
        <f aca="false">D24-C24</f>
        <v>57</v>
      </c>
    </row>
    <row r="25" customFormat="false" ht="16.4" hidden="false" customHeight="false" outlineLevel="0" collapsed="false">
      <c r="A25" s="6" t="s">
        <v>18</v>
      </c>
      <c r="B25" s="8" t="s">
        <v>16</v>
      </c>
      <c r="C25" s="6" t="n">
        <v>114</v>
      </c>
      <c r="D25" s="7" t="n">
        <f aca="false">D12-C12</f>
        <v>142</v>
      </c>
      <c r="E25" s="7" t="n">
        <f aca="false">D25-C25</f>
        <v>28</v>
      </c>
    </row>
    <row r="26" customFormat="false" ht="15" hidden="false" customHeight="false" outlineLevel="0" collapsed="false">
      <c r="A26" s="6" t="s">
        <v>18</v>
      </c>
      <c r="B26" s="6" t="s">
        <v>17</v>
      </c>
      <c r="C26" s="6" t="n">
        <v>25</v>
      </c>
      <c r="D26" s="7" t="n">
        <f aca="false">D13-C13</f>
        <v>154</v>
      </c>
      <c r="E26" s="7" t="n">
        <f aca="false">D26-C26</f>
        <v>129</v>
      </c>
    </row>
    <row r="27" customFormat="false" ht="15" hidden="false" customHeight="false" outlineLevel="0" collapsed="false">
      <c r="A27" s="9" t="s">
        <v>20</v>
      </c>
      <c r="B27" s="9" t="s">
        <v>6</v>
      </c>
      <c r="C27" s="9" t="n">
        <v>118</v>
      </c>
      <c r="D27" s="10" t="n">
        <f aca="false">D14-C14</f>
        <v>422</v>
      </c>
      <c r="E27" s="10" t="n">
        <f aca="false">D27-C27</f>
        <v>304</v>
      </c>
    </row>
    <row r="28" customFormat="false" ht="15" hidden="false" customHeight="false" outlineLevel="0" collapsed="false">
      <c r="A28" s="9" t="s">
        <v>20</v>
      </c>
      <c r="B28" s="9" t="s">
        <v>7</v>
      </c>
      <c r="C28" s="9" t="n">
        <v>101</v>
      </c>
      <c r="D28" s="10" t="n">
        <f aca="false">D15-C15</f>
        <v>281</v>
      </c>
      <c r="E28" s="10" t="n">
        <f aca="false">D28-C28</f>
        <v>180</v>
      </c>
    </row>
    <row r="29" customFormat="false" ht="15" hidden="false" customHeight="false" outlineLevel="0" collapsed="false">
      <c r="A29" s="9" t="s">
        <v>20</v>
      </c>
      <c r="B29" s="9" t="s">
        <v>19</v>
      </c>
      <c r="C29" s="9" t="n">
        <v>134</v>
      </c>
      <c r="D29" s="10" t="n">
        <f aca="false">D16-C16</f>
        <v>491</v>
      </c>
      <c r="E29" s="10" t="n">
        <f aca="false">D29-C29</f>
        <v>357</v>
      </c>
    </row>
    <row r="30" customFormat="false" ht="15" hidden="false" customHeight="false" outlineLevel="0" collapsed="false">
      <c r="A30" s="9" t="s">
        <v>20</v>
      </c>
      <c r="B30" s="9" t="s">
        <v>8</v>
      </c>
      <c r="C30" s="9" t="n">
        <v>70</v>
      </c>
      <c r="D30" s="10" t="n">
        <f aca="false">D17-C17</f>
        <v>350</v>
      </c>
      <c r="E30" s="10" t="n">
        <f aca="false">D30-C30</f>
        <v>280</v>
      </c>
    </row>
    <row r="31" customFormat="false" ht="15" hidden="false" customHeight="false" outlineLevel="0" collapsed="false">
      <c r="A31" s="9" t="s">
        <v>20</v>
      </c>
      <c r="B31" s="9" t="s">
        <v>9</v>
      </c>
      <c r="C31" s="9" t="n">
        <v>210</v>
      </c>
      <c r="D31" s="10" t="n">
        <f aca="false">D18-C18</f>
        <v>1440</v>
      </c>
      <c r="E31" s="10" t="n">
        <f aca="false">D31-C31</f>
        <v>1230</v>
      </c>
    </row>
    <row r="32" customFormat="false" ht="15" hidden="false" customHeight="false" outlineLevel="0" collapsed="false">
      <c r="A32" s="9" t="s">
        <v>20</v>
      </c>
      <c r="B32" s="9" t="s">
        <v>10</v>
      </c>
      <c r="C32" s="9" t="n">
        <v>69</v>
      </c>
      <c r="D32" s="10" t="n">
        <f aca="false">D19-C19</f>
        <v>428</v>
      </c>
      <c r="E32" s="10" t="n">
        <f aca="false">D32-C32</f>
        <v>359</v>
      </c>
    </row>
    <row r="33" customFormat="false" ht="15" hidden="false" customHeight="false" outlineLevel="0" collapsed="false">
      <c r="A33" s="9" t="s">
        <v>20</v>
      </c>
      <c r="B33" s="9" t="s">
        <v>11</v>
      </c>
      <c r="C33" s="9" t="n">
        <v>66</v>
      </c>
      <c r="D33" s="10" t="n">
        <f aca="false">D20-C20</f>
        <v>549</v>
      </c>
      <c r="E33" s="10" t="n">
        <f aca="false">D33-C33</f>
        <v>483</v>
      </c>
    </row>
    <row r="34" customFormat="false" ht="15" hidden="false" customHeight="false" outlineLevel="0" collapsed="false">
      <c r="A34" s="9" t="s">
        <v>20</v>
      </c>
      <c r="B34" s="9" t="s">
        <v>12</v>
      </c>
      <c r="C34" s="9" t="n">
        <v>66</v>
      </c>
      <c r="D34" s="10" t="n">
        <f aca="false">D21-C21</f>
        <v>527</v>
      </c>
      <c r="E34" s="10" t="n">
        <f aca="false">D34-C34</f>
        <v>461</v>
      </c>
    </row>
    <row r="35" customFormat="false" ht="15" hidden="false" customHeight="false" outlineLevel="0" collapsed="false">
      <c r="A35" s="9" t="s">
        <v>20</v>
      </c>
      <c r="B35" s="9" t="s">
        <v>13</v>
      </c>
      <c r="C35" s="9" t="n">
        <v>69</v>
      </c>
      <c r="D35" s="10" t="n">
        <f aca="false">D22-C22</f>
        <v>411</v>
      </c>
      <c r="E35" s="10" t="n">
        <f aca="false">D35-C35</f>
        <v>342</v>
      </c>
    </row>
    <row r="36" customFormat="false" ht="15" hidden="false" customHeight="false" outlineLevel="0" collapsed="false">
      <c r="A36" s="9" t="s">
        <v>20</v>
      </c>
      <c r="B36" s="9" t="s">
        <v>15</v>
      </c>
      <c r="C36" s="9" t="n">
        <v>107</v>
      </c>
      <c r="D36" s="10" t="n">
        <f aca="false">D24-C24</f>
        <v>57</v>
      </c>
      <c r="E36" s="11" t="n">
        <f aca="false">D36-C36</f>
        <v>-50</v>
      </c>
    </row>
    <row r="37" customFormat="false" ht="15" hidden="false" customHeight="false" outlineLevel="0" collapsed="false">
      <c r="A37" s="9" t="s">
        <v>20</v>
      </c>
      <c r="B37" s="9" t="s">
        <v>16</v>
      </c>
      <c r="C37" s="9" t="n">
        <v>114</v>
      </c>
      <c r="D37" s="10" t="n">
        <f aca="false">D25-C25</f>
        <v>28</v>
      </c>
      <c r="E37" s="11" t="n">
        <f aca="false">D37-C37</f>
        <v>-86</v>
      </c>
    </row>
    <row r="38" customFormat="false" ht="15" hidden="false" customHeight="false" outlineLevel="0" collapsed="false">
      <c r="A38" s="9" t="s">
        <v>20</v>
      </c>
      <c r="B38" s="9" t="s">
        <v>14</v>
      </c>
      <c r="C38" s="9" t="n">
        <v>83</v>
      </c>
      <c r="D38" s="10" t="n">
        <f aca="false">D23-C23</f>
        <v>148</v>
      </c>
      <c r="E38" s="10" t="n">
        <f aca="false">D38-C38</f>
        <v>65</v>
      </c>
    </row>
    <row r="39" customFormat="false" ht="15" hidden="false" customHeight="false" outlineLevel="0" collapsed="false">
      <c r="A39" s="9" t="s">
        <v>20</v>
      </c>
      <c r="B39" s="9" t="s">
        <v>17</v>
      </c>
      <c r="C39" s="9" t="n">
        <v>41</v>
      </c>
      <c r="D39" s="10" t="n">
        <f aca="false">D26-C26</f>
        <v>129</v>
      </c>
      <c r="E39" s="10" t="n">
        <f aca="false">D39-C39</f>
        <v>88</v>
      </c>
    </row>
    <row r="40" customFormat="false" ht="15" hidden="false" customHeight="false" outlineLevel="0" collapsed="false">
      <c r="E40" s="12"/>
    </row>
    <row r="41" customFormat="false" ht="15" hidden="false" customHeight="true" outlineLevel="0" collapsed="false">
      <c r="C41" s="13" t="s">
        <v>21</v>
      </c>
      <c r="D41" s="13" t="s">
        <v>22</v>
      </c>
    </row>
    <row r="42" customFormat="false" ht="15" hidden="false" customHeight="true" outlineLevel="0" collapsed="false">
      <c r="B42" s="9" t="s">
        <v>6</v>
      </c>
      <c r="C42" s="14" t="n">
        <f aca="false">SUMIF($B$2:$B$39,B42,$C$2:$C$39)</f>
        <v>259</v>
      </c>
      <c r="D42" s="10" t="n">
        <v>304</v>
      </c>
    </row>
    <row r="43" customFormat="false" ht="15" hidden="false" customHeight="true" outlineLevel="0" collapsed="false">
      <c r="B43" s="9" t="s">
        <v>7</v>
      </c>
      <c r="C43" s="14" t="n">
        <f aca="false">SUMIF($B$2:$B$39,B43,$C$2:$C$39)</f>
        <v>302</v>
      </c>
      <c r="D43" s="10" t="n">
        <v>180</v>
      </c>
    </row>
    <row r="44" customFormat="false" ht="15" hidden="false" customHeight="true" outlineLevel="0" collapsed="false">
      <c r="B44" s="9" t="s">
        <v>19</v>
      </c>
      <c r="C44" s="14" t="n">
        <f aca="false">SUMIF($B$2:$B$39,B44,$C$2:$C$39)</f>
        <v>184</v>
      </c>
      <c r="D44" s="10" t="n">
        <v>357</v>
      </c>
    </row>
    <row r="45" customFormat="false" ht="15" hidden="false" customHeight="true" outlineLevel="0" collapsed="false">
      <c r="B45" s="9" t="s">
        <v>8</v>
      </c>
      <c r="C45" s="14" t="n">
        <f aca="false">SUMIF($B$2:$B$39,B45,$C$2:$C$39)</f>
        <v>196</v>
      </c>
      <c r="D45" s="10" t="n">
        <v>280</v>
      </c>
    </row>
    <row r="46" customFormat="false" ht="15" hidden="false" customHeight="true" outlineLevel="0" collapsed="false">
      <c r="B46" s="9" t="s">
        <v>9</v>
      </c>
      <c r="C46" s="14" t="n">
        <f aca="false">SUMIF($B$2:$B$39,B46,$C$2:$C$39)</f>
        <v>528</v>
      </c>
      <c r="D46" s="10" t="n">
        <v>1230</v>
      </c>
    </row>
    <row r="47" customFormat="false" ht="15" hidden="false" customHeight="true" outlineLevel="0" collapsed="false">
      <c r="B47" s="9" t="s">
        <v>10</v>
      </c>
      <c r="C47" s="14" t="n">
        <f aca="false">SUMIF($B$2:$B$39,B47,$C$2:$C$39)</f>
        <v>195</v>
      </c>
      <c r="D47" s="10" t="n">
        <v>359</v>
      </c>
    </row>
    <row r="48" customFormat="false" ht="15" hidden="false" customHeight="true" outlineLevel="0" collapsed="false">
      <c r="B48" s="9" t="s">
        <v>11</v>
      </c>
      <c r="C48" s="14" t="n">
        <f aca="false">SUMIF($B$2:$B$39,B48,$C$2:$C$39)</f>
        <v>99</v>
      </c>
      <c r="D48" s="10" t="n">
        <v>483</v>
      </c>
    </row>
    <row r="49" customFormat="false" ht="15" hidden="false" customHeight="true" outlineLevel="0" collapsed="false">
      <c r="B49" s="9" t="s">
        <v>12</v>
      </c>
      <c r="C49" s="14" t="n">
        <f aca="false">SUMIF($B$2:$B$39,B49,$C$2:$C$39)</f>
        <v>101</v>
      </c>
      <c r="D49" s="10" t="n">
        <v>461</v>
      </c>
    </row>
    <row r="50" customFormat="false" ht="15" hidden="false" customHeight="true" outlineLevel="0" collapsed="false">
      <c r="B50" s="9" t="s">
        <v>13</v>
      </c>
      <c r="C50" s="14" t="n">
        <f aca="false">SUMIF($B$2:$B$39,B50,$C$2:$C$39)</f>
        <v>190</v>
      </c>
      <c r="D50" s="10" t="n">
        <v>342</v>
      </c>
    </row>
    <row r="51" customFormat="false" ht="15" hidden="false" customHeight="true" outlineLevel="0" collapsed="false">
      <c r="B51" s="9" t="s">
        <v>15</v>
      </c>
      <c r="C51" s="14" t="n">
        <f aca="false">SUMIF($B$2:$B$39,B51,$C$2:$C$39)</f>
        <v>321</v>
      </c>
      <c r="D51" s="11" t="n">
        <v>-50</v>
      </c>
    </row>
    <row r="52" customFormat="false" ht="15" hidden="false" customHeight="true" outlineLevel="0" collapsed="false">
      <c r="B52" s="9" t="s">
        <v>16</v>
      </c>
      <c r="C52" s="14" t="n">
        <f aca="false">SUMIF($B$2:$B$39,B52,$C$2:$C$39)</f>
        <v>342</v>
      </c>
      <c r="D52" s="11" t="n">
        <v>-86</v>
      </c>
    </row>
    <row r="53" customFormat="false" ht="15" hidden="false" customHeight="true" outlineLevel="0" collapsed="false">
      <c r="B53" s="9" t="s">
        <v>14</v>
      </c>
      <c r="C53" s="14" t="n">
        <f aca="false">SUMIF($B$2:$B$39,B53,$C$2:$C$39)</f>
        <v>259</v>
      </c>
      <c r="D53" s="10" t="n">
        <v>65</v>
      </c>
    </row>
    <row r="54" customFormat="false" ht="15" hidden="false" customHeight="true" outlineLevel="0" collapsed="false">
      <c r="B54" s="9" t="s">
        <v>17</v>
      </c>
      <c r="C54" s="14" t="n">
        <f aca="false">SUMIF($B$2:$B$39,B54,$C$2:$C$39)</f>
        <v>121</v>
      </c>
      <c r="D54" s="10" t="n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2025-11-25T19:32:50Z</dcterms:created>
  <dc:creator>openpyxl</dc:creator>
  <dc:description/>
  <dc:language>pt-BR</dc:language>
  <cp:lastModifiedBy/>
  <dcterms:modified xsi:type="dcterms:W3CDTF">2025-11-25T18:19:02Z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